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a del Producto" sheetId="1" r:id="rId4"/>
  </sheets>
  <definedNames/>
  <calcPr/>
  <extLst>
    <ext uri="GoogleSheetsCustomDataVersion2">
      <go:sheetsCustomData xmlns:go="http://customooxmlschemas.google.com/" r:id="rId5" roundtripDataChecksum="Jkfh8aje+UoZvkcuhObLSmgGbo55+xzOp35RplDcJtQ="/>
    </ext>
  </extLst>
</workbook>
</file>

<file path=xl/sharedStrings.xml><?xml version="1.0" encoding="utf-8"?>
<sst xmlns="http://schemas.openxmlformats.org/spreadsheetml/2006/main" count="203" uniqueCount="88">
  <si>
    <t>PILA DEL PRODUCTO</t>
  </si>
  <si>
    <t>OBJETIVO DEL SPRINT</t>
  </si>
  <si>
    <t>Proyecto</t>
  </si>
  <si>
    <t>Prioridad</t>
  </si>
  <si>
    <t>Categoría</t>
  </si>
  <si>
    <t>Tarea</t>
  </si>
  <si>
    <t>Responsable</t>
  </si>
  <si>
    <t>Est. HH</t>
  </si>
  <si>
    <t>Estado</t>
  </si>
  <si>
    <t>Objetivo del Sprint</t>
  </si>
  <si>
    <t>Inicio</t>
  </si>
  <si>
    <t>Fin</t>
  </si>
  <si>
    <t>HH Efectivas</t>
  </si>
  <si>
    <t>Documentación</t>
  </si>
  <si>
    <t>Redactar la introducción y tabla de resumen del Incremento 2</t>
  </si>
  <si>
    <t>Marcelo Rozas</t>
  </si>
  <si>
    <t>Finalizado</t>
  </si>
  <si>
    <t>Documentación y diseño del proyecto</t>
  </si>
  <si>
    <t>Elaborar la tabla de planificación del Sprint Planning</t>
  </si>
  <si>
    <t>Organización</t>
  </si>
  <si>
    <t>Reunión general de los lideres de grupo</t>
  </si>
  <si>
    <t>Fernando Pavez, Benjamín Gallegos</t>
  </si>
  <si>
    <t>Organización general del proyecto</t>
  </si>
  <si>
    <t>Reunión del grupo con encargados de Finet</t>
  </si>
  <si>
    <t>Grupo 2</t>
  </si>
  <si>
    <t>Reunión de todos los grupos</t>
  </si>
  <si>
    <t>Todos los grupos</t>
  </si>
  <si>
    <t>Desarrollo</t>
  </si>
  <si>
    <t>Implementar un registro de pagos confirmados con trazabilidad</t>
  </si>
  <si>
    <t>Daniel Mass, Conjunto a Grupo 8</t>
  </si>
  <si>
    <t>Cumplir con CU 44</t>
  </si>
  <si>
    <t>Implementar una validación de unicidad en los códigos de transacción</t>
  </si>
  <si>
    <t>Cumplir con CU 45</t>
  </si>
  <si>
    <t>Implementar un sistema de revisión diaria para la identificación de contratos morosos</t>
  </si>
  <si>
    <t>Emilio Castillo, Conjunto a Grupo 8</t>
  </si>
  <si>
    <t>Cumplir con CU 47</t>
  </si>
  <si>
    <t>Implementar una asignación de fechas de vencimiento fijo a los contratos</t>
  </si>
  <si>
    <t>Cumplir con CU 54</t>
  </si>
  <si>
    <t>Implementar un listado de contratos con saldos vencidos</t>
  </si>
  <si>
    <t>Cumplir con CU 55</t>
  </si>
  <si>
    <t>Implementar un sistema de seguimiento de contrato vencido</t>
  </si>
  <si>
    <t>Cumplir con CU 56</t>
  </si>
  <si>
    <t>Implementar la configuración de parámetros de detección de morosidad</t>
  </si>
  <si>
    <t>Cumplir con CU 80</t>
  </si>
  <si>
    <t>Implementar herramienta de validación del formato de contraseña nueva de la red inalámbrica</t>
  </si>
  <si>
    <t>Matias Abarca</t>
  </si>
  <si>
    <t>Cumplir con CU 31</t>
  </si>
  <si>
    <t>Implementar sistema de solicitudes de cambio de contraseña de la red inalámbrica</t>
  </si>
  <si>
    <t>Cumplir con CU 32</t>
  </si>
  <si>
    <t>Implementar un registro de bitácora de eventos de suspensión y reactivación</t>
  </si>
  <si>
    <t>Cumplir con CU 51</t>
  </si>
  <si>
    <t>Implementar sistema de prueba de velocidad de la red</t>
  </si>
  <si>
    <t>Cumplir con CU 34</t>
  </si>
  <si>
    <t>Implementar resultados de las evaluaciones de red</t>
  </si>
  <si>
    <t>Cumplir con CU 35</t>
  </si>
  <si>
    <t>Implementar reportes financieros de un periodo seleccionado</t>
  </si>
  <si>
    <t>Vicente Jiménez, Conjunto a Grupo 8</t>
  </si>
  <si>
    <t>Cumplir con CU 57</t>
  </si>
  <si>
    <t>Implementar visor cartografico de factibilidad tecnica</t>
  </si>
  <si>
    <t>Fernando Pavez</t>
  </si>
  <si>
    <t>Cumplir con CU 59</t>
  </si>
  <si>
    <t>Implementar capa de calor de cobertura en el mapa</t>
  </si>
  <si>
    <t>Cumplir con CU 60</t>
  </si>
  <si>
    <t>Implementar registro de solicitudes de soporte desde el portal clientes</t>
  </si>
  <si>
    <t>Cumplir con CU 71</t>
  </si>
  <si>
    <t>Implementar herramientas para actualizar y cerrar tickets de soporte</t>
  </si>
  <si>
    <t>Cumplir con CU 78</t>
  </si>
  <si>
    <t>Implementar herramientas de acercamiento y alejamiento en el sistema de mapa</t>
  </si>
  <si>
    <t>Cumplir con CU 61</t>
  </si>
  <si>
    <t>Implementar un sistema de paneo de movilidad dentro del mapa</t>
  </si>
  <si>
    <t>Cumplir con CU 62</t>
  </si>
  <si>
    <t>Implementar generación de etiquetas de indexación por sección y plan</t>
  </si>
  <si>
    <t>Emilio Castillo</t>
  </si>
  <si>
    <t>Cumplir con CU 72</t>
  </si>
  <si>
    <t>Implementar generación y actualización de archivos de indexación del sitio</t>
  </si>
  <si>
    <t>Cumplir con CU 74</t>
  </si>
  <si>
    <t>Implementar registro de aceptación de políticas de privacidad en formularios</t>
  </si>
  <si>
    <t>Daniel Mass</t>
  </si>
  <si>
    <t>Cumplir con CU 75</t>
  </si>
  <si>
    <t>Implementar acceder a términos, condiciones y políticas de privacidad</t>
  </si>
  <si>
    <t>Cumplir con CU 73</t>
  </si>
  <si>
    <t>Redactar documento</t>
  </si>
  <si>
    <t>Vicente Jiménez</t>
  </si>
  <si>
    <t>Diseñar el arbol de navegación</t>
  </si>
  <si>
    <t>Métricas</t>
  </si>
  <si>
    <t>Elaborar la tabla comparativa de HH estimadas versus reales del sprint</t>
  </si>
  <si>
    <t>Generar gráfico Burn-Down del sprint</t>
  </si>
  <si>
    <t>Generar gráfico Burn-Up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</si>
</sst>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1.0"/>
      <color theme="1"/>
      <name val="Calibri"/>
      <scheme val="minor"/>
    </font>
    <font>
      <b/>
      <sz val="11.0"/>
      <color rgb="FF000000"/>
      <name val="Arial"/>
    </font>
    <font/>
    <font>
      <b/>
      <sz val="9.0"/>
      <color rgb="FF000000"/>
      <name val="Arial"/>
    </font>
    <font>
      <sz val="9.0"/>
      <color rgb="FF000000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rgb="FFFFFF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164" xfId="0" applyAlignment="1" applyBorder="1" applyFill="1" applyFont="1" applyNumberFormat="1">
      <alignment horizontal="center" shrinkToFit="0" vertical="center" wrapText="0"/>
    </xf>
    <xf borderId="0" fillId="0" fontId="5" numFmtId="0" xfId="0" applyFont="1"/>
    <xf borderId="4" fillId="4" fontId="4" numFmtId="164" xfId="0" applyAlignment="1" applyBorder="1" applyFill="1" applyFont="1" applyNumberFormat="1">
      <alignment horizontal="center" shrinkToFit="0" vertical="center" wrapText="1"/>
    </xf>
    <xf borderId="4" fillId="4" fontId="4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10.0"/>
    <col customWidth="1" min="5" max="5" width="16.0"/>
    <col customWidth="1" min="6" max="6" width="50.0"/>
    <col customWidth="1" min="7" max="7" width="17.0"/>
    <col customWidth="1" min="8" max="8" width="9.0"/>
    <col customWidth="1" min="9" max="9" width="12.0"/>
    <col customWidth="1" min="10" max="10" width="42.0"/>
    <col customWidth="1" min="11" max="13" width="13.0"/>
  </cols>
  <sheetData>
    <row r="4" ht="21.75" customHeight="1">
      <c r="D4" s="1" t="s">
        <v>0</v>
      </c>
      <c r="E4" s="2"/>
      <c r="F4" s="2"/>
      <c r="G4" s="2"/>
      <c r="H4" s="2"/>
      <c r="I4" s="3"/>
      <c r="J4" s="4" t="s">
        <v>1</v>
      </c>
      <c r="K4" s="1" t="s">
        <v>2</v>
      </c>
      <c r="L4" s="2"/>
      <c r="M4" s="3"/>
    </row>
    <row r="5" ht="19.5" customHeight="1"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ht="30.0" customHeight="1">
      <c r="D6" s="6">
        <v>1.0</v>
      </c>
      <c r="E6" s="7" t="s">
        <v>13</v>
      </c>
      <c r="F6" s="7" t="s">
        <v>14</v>
      </c>
      <c r="G6" s="6" t="s">
        <v>15</v>
      </c>
      <c r="H6" s="6">
        <v>2.0</v>
      </c>
      <c r="I6" s="6" t="s">
        <v>16</v>
      </c>
      <c r="J6" s="7" t="s">
        <v>17</v>
      </c>
      <c r="K6" s="8">
        <v>46245.0</v>
      </c>
      <c r="L6" s="8">
        <v>46245.0</v>
      </c>
      <c r="M6" s="6">
        <v>1.0</v>
      </c>
    </row>
    <row r="7" ht="30.0" customHeight="1">
      <c r="D7" s="6">
        <v>1.0</v>
      </c>
      <c r="E7" s="7" t="s">
        <v>13</v>
      </c>
      <c r="F7" s="7" t="s">
        <v>18</v>
      </c>
      <c r="G7" s="6" t="s">
        <v>15</v>
      </c>
      <c r="H7" s="6">
        <v>3.0</v>
      </c>
      <c r="I7" s="6" t="s">
        <v>16</v>
      </c>
      <c r="J7" s="7" t="s">
        <v>17</v>
      </c>
      <c r="K7" s="8">
        <v>46245.0</v>
      </c>
      <c r="L7" s="8">
        <v>46245.0</v>
      </c>
      <c r="M7" s="6">
        <v>2.0</v>
      </c>
    </row>
    <row r="8" ht="30.0" customHeight="1">
      <c r="D8" s="6">
        <v>1.0</v>
      </c>
      <c r="E8" s="7" t="s">
        <v>19</v>
      </c>
      <c r="F8" s="7" t="s">
        <v>20</v>
      </c>
      <c r="G8" s="6" t="s">
        <v>21</v>
      </c>
      <c r="H8" s="6">
        <v>2.0</v>
      </c>
      <c r="I8" s="6" t="s">
        <v>16</v>
      </c>
      <c r="J8" s="7" t="s">
        <v>22</v>
      </c>
      <c r="K8" s="8">
        <v>46259.0</v>
      </c>
      <c r="L8" s="8">
        <v>46259.0</v>
      </c>
      <c r="M8" s="6">
        <v>2.0</v>
      </c>
    </row>
    <row r="9" ht="30.0" customHeight="1">
      <c r="D9" s="6">
        <v>1.0</v>
      </c>
      <c r="E9" s="7" t="s">
        <v>19</v>
      </c>
      <c r="F9" s="7" t="s">
        <v>23</v>
      </c>
      <c r="G9" s="6" t="s">
        <v>24</v>
      </c>
      <c r="H9" s="6">
        <v>2.0</v>
      </c>
      <c r="I9" s="6" t="s">
        <v>16</v>
      </c>
      <c r="J9" s="7" t="s">
        <v>22</v>
      </c>
      <c r="K9" s="8">
        <v>46262.0</v>
      </c>
      <c r="L9" s="8">
        <v>46262.0</v>
      </c>
      <c r="M9" s="6">
        <v>1.0</v>
      </c>
    </row>
    <row r="10" ht="30.0" customHeight="1">
      <c r="B10" s="9">
        <f>SUM(H6:H10)</f>
        <v>11</v>
      </c>
      <c r="C10" s="9">
        <f>SUM(M6:M10)</f>
        <v>10</v>
      </c>
      <c r="D10" s="6">
        <v>1.0</v>
      </c>
      <c r="E10" s="7" t="s">
        <v>19</v>
      </c>
      <c r="F10" s="7" t="s">
        <v>25</v>
      </c>
      <c r="G10" s="6" t="s">
        <v>26</v>
      </c>
      <c r="H10" s="6">
        <v>2.0</v>
      </c>
      <c r="I10" s="6" t="s">
        <v>16</v>
      </c>
      <c r="J10" s="7" t="s">
        <v>22</v>
      </c>
      <c r="K10" s="8">
        <v>46267.0</v>
      </c>
      <c r="L10" s="8">
        <v>46267.0</v>
      </c>
      <c r="M10" s="6">
        <v>4.0</v>
      </c>
    </row>
    <row r="11" ht="30.0" customHeight="1">
      <c r="D11" s="6">
        <v>2.0</v>
      </c>
      <c r="E11" s="7" t="s">
        <v>27</v>
      </c>
      <c r="F11" s="7" t="s">
        <v>28</v>
      </c>
      <c r="G11" s="6" t="s">
        <v>29</v>
      </c>
      <c r="H11" s="6">
        <v>5.0</v>
      </c>
      <c r="I11" s="6" t="s">
        <v>16</v>
      </c>
      <c r="J11" s="7" t="s">
        <v>30</v>
      </c>
      <c r="K11" s="8">
        <v>46263.0</v>
      </c>
      <c r="L11" s="8">
        <v>46270.0</v>
      </c>
      <c r="M11" s="6">
        <v>5.0</v>
      </c>
    </row>
    <row r="12" ht="30.0" customHeight="1">
      <c r="D12" s="6">
        <v>2.0</v>
      </c>
      <c r="E12" s="7" t="s">
        <v>27</v>
      </c>
      <c r="F12" s="7" t="s">
        <v>31</v>
      </c>
      <c r="G12" s="6" t="s">
        <v>29</v>
      </c>
      <c r="H12" s="6">
        <v>4.0</v>
      </c>
      <c r="I12" s="6" t="s">
        <v>16</v>
      </c>
      <c r="J12" s="7" t="s">
        <v>32</v>
      </c>
      <c r="K12" s="8">
        <v>46261.0</v>
      </c>
      <c r="L12" s="8">
        <v>46269.0</v>
      </c>
      <c r="M12" s="6">
        <v>4.0</v>
      </c>
    </row>
    <row r="13" ht="30.0" customHeight="1">
      <c r="D13" s="6">
        <v>2.0</v>
      </c>
      <c r="E13" s="7" t="s">
        <v>27</v>
      </c>
      <c r="F13" s="7" t="s">
        <v>33</v>
      </c>
      <c r="G13" s="6" t="s">
        <v>34</v>
      </c>
      <c r="H13" s="6">
        <v>4.0</v>
      </c>
      <c r="I13" s="6" t="s">
        <v>16</v>
      </c>
      <c r="J13" s="7" t="s">
        <v>35</v>
      </c>
      <c r="K13" s="8">
        <v>46263.0</v>
      </c>
      <c r="L13" s="8">
        <v>46270.0</v>
      </c>
      <c r="M13" s="6">
        <v>4.0</v>
      </c>
    </row>
    <row r="14" ht="30.0" customHeight="1">
      <c r="D14" s="6">
        <v>2.0</v>
      </c>
      <c r="E14" s="7" t="s">
        <v>27</v>
      </c>
      <c r="F14" s="7" t="s">
        <v>36</v>
      </c>
      <c r="G14" s="6" t="s">
        <v>34</v>
      </c>
      <c r="H14" s="6">
        <v>5.0</v>
      </c>
      <c r="I14" s="6" t="s">
        <v>16</v>
      </c>
      <c r="J14" s="7" t="s">
        <v>37</v>
      </c>
      <c r="K14" s="8">
        <v>46263.0</v>
      </c>
      <c r="L14" s="8">
        <v>46270.0</v>
      </c>
      <c r="M14" s="6">
        <v>5.0</v>
      </c>
    </row>
    <row r="15" ht="30.0" customHeight="1">
      <c r="D15" s="6">
        <v>2.0</v>
      </c>
      <c r="E15" s="7" t="s">
        <v>27</v>
      </c>
      <c r="F15" s="7" t="s">
        <v>38</v>
      </c>
      <c r="G15" s="6" t="s">
        <v>34</v>
      </c>
      <c r="H15" s="6">
        <v>4.0</v>
      </c>
      <c r="I15" s="6" t="s">
        <v>16</v>
      </c>
      <c r="J15" s="7" t="s">
        <v>39</v>
      </c>
      <c r="K15" s="8">
        <v>46263.0</v>
      </c>
      <c r="L15" s="8">
        <v>46270.0</v>
      </c>
      <c r="M15" s="6">
        <v>4.0</v>
      </c>
    </row>
    <row r="16" ht="30.0" customHeight="1">
      <c r="D16" s="6">
        <v>2.0</v>
      </c>
      <c r="E16" s="7" t="s">
        <v>27</v>
      </c>
      <c r="F16" s="7" t="s">
        <v>40</v>
      </c>
      <c r="G16" s="6" t="s">
        <v>34</v>
      </c>
      <c r="H16" s="6">
        <v>4.0</v>
      </c>
      <c r="I16" s="6" t="s">
        <v>16</v>
      </c>
      <c r="J16" s="7" t="s">
        <v>41</v>
      </c>
      <c r="K16" s="8">
        <v>46263.0</v>
      </c>
      <c r="L16" s="8">
        <v>46270.0</v>
      </c>
      <c r="M16" s="6">
        <v>4.0</v>
      </c>
    </row>
    <row r="17" ht="30.0" customHeight="1">
      <c r="B17" s="9">
        <f>SUM(H6:H17)</f>
        <v>41</v>
      </c>
      <c r="C17" s="9">
        <f>SUM(M6:M17)</f>
        <v>40</v>
      </c>
      <c r="D17" s="6">
        <v>2.0</v>
      </c>
      <c r="E17" s="7" t="s">
        <v>27</v>
      </c>
      <c r="F17" s="7" t="s">
        <v>42</v>
      </c>
      <c r="G17" s="6" t="s">
        <v>34</v>
      </c>
      <c r="H17" s="6">
        <v>4.0</v>
      </c>
      <c r="I17" s="6" t="s">
        <v>16</v>
      </c>
      <c r="J17" s="7" t="s">
        <v>43</v>
      </c>
      <c r="K17" s="8">
        <v>46263.0</v>
      </c>
      <c r="L17" s="8">
        <v>46270.0</v>
      </c>
      <c r="M17" s="6">
        <v>4.0</v>
      </c>
    </row>
    <row r="18" ht="30.0" customHeight="1">
      <c r="D18" s="6">
        <v>3.0</v>
      </c>
      <c r="E18" s="7" t="s">
        <v>27</v>
      </c>
      <c r="F18" s="7" t="s">
        <v>44</v>
      </c>
      <c r="G18" s="6" t="s">
        <v>45</v>
      </c>
      <c r="H18" s="6">
        <v>4.0</v>
      </c>
      <c r="I18" s="6" t="s">
        <v>16</v>
      </c>
      <c r="J18" s="7" t="s">
        <v>46</v>
      </c>
      <c r="K18" s="10">
        <v>46259.0</v>
      </c>
      <c r="L18" s="10">
        <v>46266.0</v>
      </c>
      <c r="M18" s="6">
        <v>4.0</v>
      </c>
    </row>
    <row r="19" ht="30.0" customHeight="1">
      <c r="D19" s="6">
        <v>3.0</v>
      </c>
      <c r="E19" s="7" t="s">
        <v>27</v>
      </c>
      <c r="F19" s="7" t="s">
        <v>47</v>
      </c>
      <c r="G19" s="6" t="s">
        <v>45</v>
      </c>
      <c r="H19" s="6">
        <v>3.0</v>
      </c>
      <c r="I19" s="6" t="s">
        <v>16</v>
      </c>
      <c r="J19" s="7" t="s">
        <v>48</v>
      </c>
      <c r="K19" s="8">
        <v>46259.0</v>
      </c>
      <c r="L19" s="8">
        <v>46266.0</v>
      </c>
      <c r="M19" s="6">
        <v>3.0</v>
      </c>
    </row>
    <row r="20" ht="30.0" customHeight="1">
      <c r="B20" s="9">
        <f>SUM(H6:H20)</f>
        <v>54</v>
      </c>
      <c r="C20" s="9">
        <f>SUM(M6:M20)</f>
        <v>53</v>
      </c>
      <c r="D20" s="6">
        <v>3.0</v>
      </c>
      <c r="E20" s="7" t="s">
        <v>27</v>
      </c>
      <c r="F20" s="7" t="s">
        <v>49</v>
      </c>
      <c r="G20" s="6" t="s">
        <v>29</v>
      </c>
      <c r="H20" s="6">
        <v>6.0</v>
      </c>
      <c r="I20" s="6" t="s">
        <v>16</v>
      </c>
      <c r="J20" s="7" t="s">
        <v>50</v>
      </c>
      <c r="K20" s="8">
        <v>46263.0</v>
      </c>
      <c r="L20" s="8">
        <v>46270.0</v>
      </c>
      <c r="M20" s="6">
        <v>6.0</v>
      </c>
    </row>
    <row r="21" ht="30.0" customHeight="1">
      <c r="D21" s="6">
        <v>4.0</v>
      </c>
      <c r="E21" s="7" t="s">
        <v>27</v>
      </c>
      <c r="F21" s="7" t="s">
        <v>51</v>
      </c>
      <c r="G21" s="6" t="s">
        <v>15</v>
      </c>
      <c r="H21" s="6">
        <v>3.0</v>
      </c>
      <c r="I21" s="6" t="s">
        <v>16</v>
      </c>
      <c r="J21" s="7" t="s">
        <v>52</v>
      </c>
      <c r="K21" s="8">
        <v>46260.0</v>
      </c>
      <c r="L21" s="8">
        <v>46267.0</v>
      </c>
      <c r="M21" s="6">
        <v>3.0</v>
      </c>
    </row>
    <row r="22" ht="30.0" customHeight="1">
      <c r="D22" s="6">
        <v>4.0</v>
      </c>
      <c r="E22" s="7" t="s">
        <v>27</v>
      </c>
      <c r="F22" s="7" t="s">
        <v>53</v>
      </c>
      <c r="G22" s="6" t="s">
        <v>15</v>
      </c>
      <c r="H22" s="6">
        <v>2.0</v>
      </c>
      <c r="I22" s="6" t="s">
        <v>16</v>
      </c>
      <c r="J22" s="7" t="s">
        <v>54</v>
      </c>
      <c r="K22" s="8">
        <v>46260.0</v>
      </c>
      <c r="L22" s="8">
        <v>46267.0</v>
      </c>
      <c r="M22" s="6">
        <v>2.0</v>
      </c>
    </row>
    <row r="23" ht="30.0" customHeight="1">
      <c r="D23" s="6">
        <v>4.0</v>
      </c>
      <c r="E23" s="7" t="s">
        <v>27</v>
      </c>
      <c r="F23" s="7" t="s">
        <v>55</v>
      </c>
      <c r="G23" s="6" t="s">
        <v>56</v>
      </c>
      <c r="H23" s="6">
        <v>5.0</v>
      </c>
      <c r="I23" s="6" t="s">
        <v>16</v>
      </c>
      <c r="J23" s="7" t="s">
        <v>57</v>
      </c>
      <c r="K23" s="8">
        <v>46264.0</v>
      </c>
      <c r="L23" s="8">
        <v>46271.0</v>
      </c>
      <c r="M23" s="6">
        <v>5.0</v>
      </c>
    </row>
    <row r="24" ht="30.0" customHeight="1">
      <c r="D24" s="6">
        <v>4.0</v>
      </c>
      <c r="E24" s="7" t="s">
        <v>27</v>
      </c>
      <c r="F24" s="7" t="s">
        <v>58</v>
      </c>
      <c r="G24" s="6" t="s">
        <v>59</v>
      </c>
      <c r="H24" s="6">
        <v>6.0</v>
      </c>
      <c r="I24" s="6" t="s">
        <v>16</v>
      </c>
      <c r="J24" s="7" t="s">
        <v>60</v>
      </c>
      <c r="K24" s="8">
        <v>46255.0</v>
      </c>
      <c r="L24" s="8">
        <v>46271.0</v>
      </c>
      <c r="M24" s="6">
        <v>6.0</v>
      </c>
    </row>
    <row r="25" ht="30.0" customHeight="1">
      <c r="D25" s="6">
        <v>4.0</v>
      </c>
      <c r="E25" s="7" t="s">
        <v>27</v>
      </c>
      <c r="F25" s="7" t="s">
        <v>61</v>
      </c>
      <c r="G25" s="6" t="s">
        <v>59</v>
      </c>
      <c r="H25" s="6">
        <v>4.0</v>
      </c>
      <c r="I25" s="6" t="s">
        <v>16</v>
      </c>
      <c r="J25" s="7" t="s">
        <v>62</v>
      </c>
      <c r="K25" s="8">
        <v>46255.0</v>
      </c>
      <c r="L25" s="8">
        <v>46271.0</v>
      </c>
      <c r="M25" s="6">
        <v>4.0</v>
      </c>
    </row>
    <row r="26" ht="30.0" customHeight="1">
      <c r="D26" s="6">
        <v>4.0</v>
      </c>
      <c r="E26" s="7" t="s">
        <v>27</v>
      </c>
      <c r="F26" s="7" t="s">
        <v>63</v>
      </c>
      <c r="G26" s="6" t="s">
        <v>56</v>
      </c>
      <c r="H26" s="6">
        <v>4.0</v>
      </c>
      <c r="I26" s="6" t="s">
        <v>16</v>
      </c>
      <c r="J26" s="7" t="s">
        <v>64</v>
      </c>
      <c r="K26" s="8">
        <v>46260.0</v>
      </c>
      <c r="L26" s="8">
        <v>46267.0</v>
      </c>
      <c r="M26" s="6">
        <v>4.0</v>
      </c>
    </row>
    <row r="27" ht="30.0" customHeight="1">
      <c r="B27" s="9">
        <f>SUM(H6:H27)</f>
        <v>82</v>
      </c>
      <c r="C27" s="9">
        <f>SUM(M6:M27)</f>
        <v>81</v>
      </c>
      <c r="D27" s="6">
        <v>4.0</v>
      </c>
      <c r="E27" s="7" t="s">
        <v>27</v>
      </c>
      <c r="F27" s="7" t="s">
        <v>65</v>
      </c>
      <c r="G27" s="6" t="s">
        <v>56</v>
      </c>
      <c r="H27" s="6">
        <v>4.0</v>
      </c>
      <c r="I27" s="6" t="s">
        <v>16</v>
      </c>
      <c r="J27" s="7" t="s">
        <v>66</v>
      </c>
      <c r="K27" s="8">
        <v>46264.0</v>
      </c>
      <c r="L27" s="8">
        <v>46271.0</v>
      </c>
      <c r="M27" s="6">
        <v>4.0</v>
      </c>
    </row>
    <row r="28" ht="30.0" customHeight="1">
      <c r="D28" s="6">
        <v>5.0</v>
      </c>
      <c r="E28" s="7" t="s">
        <v>27</v>
      </c>
      <c r="F28" s="7" t="s">
        <v>67</v>
      </c>
      <c r="G28" s="6" t="s">
        <v>59</v>
      </c>
      <c r="H28" s="6">
        <v>3.0</v>
      </c>
      <c r="I28" s="6" t="s">
        <v>16</v>
      </c>
      <c r="J28" s="7" t="s">
        <v>68</v>
      </c>
      <c r="K28" s="8">
        <v>46255.0</v>
      </c>
      <c r="L28" s="8">
        <v>46271.0</v>
      </c>
      <c r="M28" s="6">
        <v>3.0</v>
      </c>
    </row>
    <row r="29" ht="30.0" customHeight="1">
      <c r="D29" s="6">
        <v>5.0</v>
      </c>
      <c r="E29" s="7" t="s">
        <v>27</v>
      </c>
      <c r="F29" s="7" t="s">
        <v>69</v>
      </c>
      <c r="G29" s="6" t="s">
        <v>59</v>
      </c>
      <c r="H29" s="6">
        <v>3.0</v>
      </c>
      <c r="I29" s="6" t="s">
        <v>16</v>
      </c>
      <c r="J29" s="7" t="s">
        <v>70</v>
      </c>
      <c r="K29" s="8">
        <v>46255.0</v>
      </c>
      <c r="L29" s="8">
        <v>46271.0</v>
      </c>
      <c r="M29" s="6">
        <v>3.0</v>
      </c>
    </row>
    <row r="30" ht="30.0" customHeight="1">
      <c r="D30" s="6">
        <v>5.0</v>
      </c>
      <c r="E30" s="7" t="s">
        <v>27</v>
      </c>
      <c r="F30" s="7" t="s">
        <v>71</v>
      </c>
      <c r="G30" s="6" t="s">
        <v>72</v>
      </c>
      <c r="H30" s="6">
        <v>6.0</v>
      </c>
      <c r="I30" s="6" t="s">
        <v>16</v>
      </c>
      <c r="J30" s="7" t="s">
        <v>73</v>
      </c>
      <c r="K30" s="8">
        <v>46268.0</v>
      </c>
      <c r="L30" s="8">
        <v>46273.0</v>
      </c>
      <c r="M30" s="6">
        <v>6.0</v>
      </c>
    </row>
    <row r="31" ht="30.0" customHeight="1">
      <c r="D31" s="6">
        <v>5.0</v>
      </c>
      <c r="E31" s="7" t="s">
        <v>27</v>
      </c>
      <c r="F31" s="7" t="s">
        <v>74</v>
      </c>
      <c r="G31" s="6" t="s">
        <v>72</v>
      </c>
      <c r="H31" s="6">
        <v>6.0</v>
      </c>
      <c r="I31" s="6" t="s">
        <v>16</v>
      </c>
      <c r="J31" s="7" t="s">
        <v>75</v>
      </c>
      <c r="K31" s="8">
        <v>46268.0</v>
      </c>
      <c r="L31" s="8">
        <v>46273.0</v>
      </c>
      <c r="M31" s="6">
        <v>6.0</v>
      </c>
    </row>
    <row r="32" ht="30.0" customHeight="1">
      <c r="D32" s="6">
        <v>5.0</v>
      </c>
      <c r="E32" s="7" t="s">
        <v>27</v>
      </c>
      <c r="F32" s="7" t="s">
        <v>76</v>
      </c>
      <c r="G32" s="6" t="s">
        <v>77</v>
      </c>
      <c r="H32" s="6">
        <v>6.0</v>
      </c>
      <c r="I32" s="6" t="s">
        <v>16</v>
      </c>
      <c r="J32" s="7" t="s">
        <v>78</v>
      </c>
      <c r="K32" s="8">
        <v>46269.0</v>
      </c>
      <c r="L32" s="8">
        <v>46274.0</v>
      </c>
      <c r="M32" s="6">
        <v>6.0</v>
      </c>
    </row>
    <row r="33" ht="30.0" customHeight="1">
      <c r="D33" s="6">
        <v>5.0</v>
      </c>
      <c r="E33" s="7" t="s">
        <v>27</v>
      </c>
      <c r="F33" s="11" t="s">
        <v>79</v>
      </c>
      <c r="G33" s="6" t="s">
        <v>77</v>
      </c>
      <c r="H33" s="6">
        <v>6.0</v>
      </c>
      <c r="I33" s="6" t="s">
        <v>16</v>
      </c>
      <c r="J33" s="11" t="s">
        <v>80</v>
      </c>
      <c r="K33" s="8">
        <v>46269.0</v>
      </c>
      <c r="L33" s="8">
        <v>46274.0</v>
      </c>
      <c r="M33" s="6">
        <v>6.0</v>
      </c>
    </row>
    <row r="34" ht="30.0" customHeight="1">
      <c r="D34" s="6">
        <v>5.0</v>
      </c>
      <c r="E34" s="7" t="s">
        <v>13</v>
      </c>
      <c r="F34" s="7" t="s">
        <v>81</v>
      </c>
      <c r="G34" s="6" t="s">
        <v>59</v>
      </c>
      <c r="H34" s="6">
        <v>3.0</v>
      </c>
      <c r="I34" s="6" t="s">
        <v>16</v>
      </c>
      <c r="J34" s="7" t="s">
        <v>17</v>
      </c>
      <c r="K34" s="8">
        <v>46272.0</v>
      </c>
      <c r="L34" s="8">
        <v>46277.0</v>
      </c>
      <c r="M34" s="6">
        <v>2.0</v>
      </c>
    </row>
    <row r="35" ht="30.0" customHeight="1">
      <c r="D35" s="6">
        <v>5.0</v>
      </c>
      <c r="E35" s="7" t="s">
        <v>13</v>
      </c>
      <c r="F35" s="7" t="s">
        <v>81</v>
      </c>
      <c r="G35" s="6" t="s">
        <v>15</v>
      </c>
      <c r="H35" s="6">
        <v>3.0</v>
      </c>
      <c r="I35" s="6" t="s">
        <v>16</v>
      </c>
      <c r="J35" s="7" t="s">
        <v>17</v>
      </c>
      <c r="K35" s="8">
        <v>46272.0</v>
      </c>
      <c r="L35" s="8">
        <v>46277.0</v>
      </c>
      <c r="M35" s="6">
        <v>3.0</v>
      </c>
    </row>
    <row r="36" ht="30.0" customHeight="1">
      <c r="D36" s="6">
        <v>5.0</v>
      </c>
      <c r="E36" s="7" t="s">
        <v>13</v>
      </c>
      <c r="F36" s="7" t="s">
        <v>81</v>
      </c>
      <c r="G36" s="6" t="s">
        <v>45</v>
      </c>
      <c r="H36" s="6">
        <v>3.0</v>
      </c>
      <c r="I36" s="6" t="s">
        <v>16</v>
      </c>
      <c r="J36" s="7" t="s">
        <v>17</v>
      </c>
      <c r="K36" s="8">
        <v>46272.0</v>
      </c>
      <c r="L36" s="8">
        <v>46277.0</v>
      </c>
      <c r="M36" s="6">
        <v>3.0</v>
      </c>
    </row>
    <row r="37" ht="30.0" customHeight="1">
      <c r="D37" s="6">
        <v>5.0</v>
      </c>
      <c r="E37" s="7" t="s">
        <v>13</v>
      </c>
      <c r="F37" s="7" t="s">
        <v>81</v>
      </c>
      <c r="G37" s="6" t="s">
        <v>82</v>
      </c>
      <c r="H37" s="6">
        <v>3.0</v>
      </c>
      <c r="I37" s="6" t="s">
        <v>16</v>
      </c>
      <c r="J37" s="7" t="s">
        <v>17</v>
      </c>
      <c r="K37" s="8">
        <v>46272.0</v>
      </c>
      <c r="L37" s="8">
        <v>46277.0</v>
      </c>
      <c r="M37" s="6">
        <v>3.0</v>
      </c>
    </row>
    <row r="38" ht="30.0" customHeight="1">
      <c r="D38" s="6">
        <v>5.0</v>
      </c>
      <c r="E38" s="7" t="s">
        <v>13</v>
      </c>
      <c r="F38" s="7" t="s">
        <v>81</v>
      </c>
      <c r="G38" s="6" t="s">
        <v>72</v>
      </c>
      <c r="H38" s="6">
        <v>3.0</v>
      </c>
      <c r="I38" s="6" t="s">
        <v>16</v>
      </c>
      <c r="J38" s="7" t="s">
        <v>17</v>
      </c>
      <c r="K38" s="8">
        <v>46272.0</v>
      </c>
      <c r="L38" s="8">
        <v>46277.0</v>
      </c>
      <c r="M38" s="6">
        <v>3.0</v>
      </c>
    </row>
    <row r="39" ht="30.0" customHeight="1">
      <c r="D39" s="6">
        <v>5.0</v>
      </c>
      <c r="E39" s="7" t="s">
        <v>13</v>
      </c>
      <c r="F39" s="7" t="s">
        <v>81</v>
      </c>
      <c r="G39" s="6" t="s">
        <v>77</v>
      </c>
      <c r="H39" s="6">
        <v>3.0</v>
      </c>
      <c r="I39" s="6" t="s">
        <v>16</v>
      </c>
      <c r="J39" s="7" t="s">
        <v>17</v>
      </c>
      <c r="K39" s="8">
        <v>46272.0</v>
      </c>
      <c r="L39" s="8">
        <v>46277.0</v>
      </c>
      <c r="M39" s="6">
        <v>3.0</v>
      </c>
    </row>
    <row r="40" ht="30.0" customHeight="1">
      <c r="B40" s="9">
        <f>SUM(H6:H40)</f>
        <v>133</v>
      </c>
      <c r="C40" s="9">
        <f>SUM(M6:M40)</f>
        <v>130</v>
      </c>
      <c r="D40" s="6">
        <v>5.0</v>
      </c>
      <c r="E40" s="7" t="s">
        <v>13</v>
      </c>
      <c r="F40" s="7" t="s">
        <v>83</v>
      </c>
      <c r="G40" s="6" t="s">
        <v>72</v>
      </c>
      <c r="H40" s="6">
        <v>3.0</v>
      </c>
      <c r="I40" s="6" t="s">
        <v>16</v>
      </c>
      <c r="J40" s="7" t="s">
        <v>17</v>
      </c>
      <c r="K40" s="8">
        <v>46272.0</v>
      </c>
      <c r="L40" s="8">
        <v>46277.0</v>
      </c>
      <c r="M40" s="6">
        <v>2.0</v>
      </c>
    </row>
    <row r="41" ht="30.0" customHeight="1">
      <c r="D41" s="6">
        <v>6.0</v>
      </c>
      <c r="E41" s="7" t="s">
        <v>84</v>
      </c>
      <c r="F41" s="7" t="s">
        <v>85</v>
      </c>
      <c r="G41" s="6" t="s">
        <v>15</v>
      </c>
      <c r="H41" s="6">
        <v>3.0</v>
      </c>
      <c r="I41" s="6" t="s">
        <v>16</v>
      </c>
      <c r="J41" s="7" t="s">
        <v>17</v>
      </c>
      <c r="K41" s="8">
        <v>46275.0</v>
      </c>
      <c r="L41" s="8">
        <v>46277.0</v>
      </c>
      <c r="M41" s="6">
        <v>2.0</v>
      </c>
    </row>
    <row r="42" ht="30.0" customHeight="1">
      <c r="D42" s="6">
        <v>6.0</v>
      </c>
      <c r="E42" s="7" t="s">
        <v>84</v>
      </c>
      <c r="F42" s="7" t="s">
        <v>86</v>
      </c>
      <c r="G42" s="6" t="s">
        <v>15</v>
      </c>
      <c r="H42" s="6">
        <v>2.0</v>
      </c>
      <c r="I42" s="6" t="s">
        <v>16</v>
      </c>
      <c r="J42" s="7" t="s">
        <v>17</v>
      </c>
      <c r="K42" s="8">
        <v>46275.0</v>
      </c>
      <c r="L42" s="8">
        <v>46277.0</v>
      </c>
      <c r="M42" s="6">
        <v>1.0</v>
      </c>
    </row>
    <row r="43" ht="30.0" customHeight="1">
      <c r="B43" s="9">
        <f>SUM(H6:H43)</f>
        <v>140</v>
      </c>
      <c r="C43" s="9">
        <f>SUM(M6:M43)</f>
        <v>134</v>
      </c>
      <c r="D43" s="6">
        <v>6.0</v>
      </c>
      <c r="E43" s="7" t="s">
        <v>84</v>
      </c>
      <c r="F43" s="7" t="s">
        <v>87</v>
      </c>
      <c r="G43" s="6" t="s">
        <v>15</v>
      </c>
      <c r="H43" s="6">
        <v>2.0</v>
      </c>
      <c r="I43" s="6" t="s">
        <v>16</v>
      </c>
      <c r="J43" s="7" t="s">
        <v>17</v>
      </c>
      <c r="K43" s="8">
        <v>46275.0</v>
      </c>
      <c r="L43" s="8">
        <v>46277.0</v>
      </c>
      <c r="M43" s="6">
        <v>1.0</v>
      </c>
    </row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4:I4"/>
    <mergeCell ref="K4:M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2026-06-07T00:19:24Z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